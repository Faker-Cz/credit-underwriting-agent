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流动资金类贷款授信额度测算表" sheetId="1" state="visible" r:id="rId1"/>
  </sheets>
  <definedNames>
    <definedName name="_xlnm.Print_Area" localSheetId="0">'流动资金类贷款授信额度测算表'!$A$1:$H$23</definedName>
  </definedNames>
  <calcPr calcId="124519" calcMode="auto" fullCalcOnLoad="1" forceFullCalc="1"/>
</workbook>
</file>

<file path=xl/styles.xml><?xml version="1.0" encoding="utf-8"?>
<styleSheet xmlns="http://schemas.openxmlformats.org/spreadsheetml/2006/main">
  <numFmts count="3">
    <numFmt numFmtId="164" formatCode="0_ "/>
    <numFmt numFmtId="165" formatCode="0.00_ "/>
    <numFmt numFmtId="166" formatCode="0.0_ "/>
  </numFmts>
  <fonts count="28">
    <font>
      <name val="宋体"/>
      <color theme="1"/>
      <sz val="11"/>
    </font>
    <font>
      <name val="宋体"/>
      <color theme="1"/>
      <sz val="14"/>
    </font>
    <font>
      <name val="宋体"/>
      <b val="1"/>
      <color rgb="FFFF0000"/>
      <sz val="11"/>
    </font>
    <font>
      <name val="宋体"/>
      <sz val="11"/>
    </font>
    <font>
      <name val="宋体"/>
      <color rgb="FFFF0000"/>
      <sz val="11"/>
    </font>
    <font>
      <name val="宋体"/>
      <color rgb="FF0000FF"/>
      <sz val="11"/>
    </font>
    <font>
      <name val="宋体"/>
      <color rgb="FF800080"/>
      <sz val="11"/>
    </font>
    <font>
      <name val="宋体"/>
      <color rgb="FFFF0000"/>
      <sz val="11"/>
    </font>
    <font>
      <name val="宋体"/>
      <b val="1"/>
      <color theme="3"/>
      <sz val="18"/>
    </font>
    <font>
      <name val="宋体"/>
      <i val="1"/>
      <color rgb="FF7F7F7F"/>
      <sz val="11"/>
    </font>
    <font>
      <name val="宋体"/>
      <b val="1"/>
      <color theme="3"/>
      <sz val="15"/>
    </font>
    <font>
      <name val="宋体"/>
      <b val="1"/>
      <color theme="3"/>
      <sz val="13"/>
    </font>
    <font>
      <name val="宋体"/>
      <b val="1"/>
      <color theme="3"/>
      <sz val="11"/>
    </font>
    <font>
      <name val="宋体"/>
      <color rgb="FF3F3F76"/>
      <sz val="11"/>
    </font>
    <font>
      <name val="宋体"/>
      <b val="1"/>
      <color rgb="FF3F3F3F"/>
      <sz val="11"/>
    </font>
    <font>
      <name val="宋体"/>
      <b val="1"/>
      <color rgb="FFFA7D00"/>
      <sz val="11"/>
    </font>
    <font>
      <name val="宋体"/>
      <b val="1"/>
      <color rgb="FFFFFFFF"/>
      <sz val="11"/>
    </font>
    <font>
      <name val="宋体"/>
      <color rgb="FFFA7D00"/>
      <sz val="11"/>
    </font>
    <font>
      <name val="宋体"/>
      <b val="1"/>
      <color theme="1"/>
      <sz val="11"/>
    </font>
    <font>
      <name val="宋体"/>
      <color rgb="FF006100"/>
      <sz val="11"/>
    </font>
    <font>
      <name val="宋体"/>
      <color rgb="FF9C0006"/>
      <sz val="11"/>
    </font>
    <font>
      <name val="宋体"/>
      <color rgb="FF9C6500"/>
      <sz val="11"/>
    </font>
    <font>
      <name val="宋体"/>
      <color theme="0"/>
      <sz val="11"/>
    </font>
    <font>
      <name val="宋体"/>
      <color theme="1"/>
      <sz val="11"/>
    </font>
    <font>
      <name val="宋体"/>
      <color theme="1"/>
      <sz val="11"/>
    </font>
    <font>
      <name val="宋体"/>
      <color indexed="36"/>
      <sz val="11"/>
    </font>
    <font>
      <name val="宋体"/>
      <color indexed="8"/>
      <sz val="11"/>
    </font>
    <font>
      <name val="宋体"/>
      <color indexed="10"/>
      <sz val="11"/>
    </font>
  </fonts>
  <fills count="36">
    <fill>
      <patternFill/>
    </fill>
    <fill>
      <patternFill patternType="gray125"/>
    </fill>
    <fill>
      <patternFill patternType="solid">
        <fgColor rgb="FFFFFF00"/>
      </patternFill>
    </fill>
    <fill>
      <patternFill patternType="solid">
        <fgColor rgb="FF0070C0"/>
      </patternFill>
    </fill>
    <fill>
      <patternFill patternType="solid">
        <fgColor rgb="FFFF0000"/>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
      </patternFill>
    </fill>
    <fill>
      <patternFill patternType="solid">
        <fgColor theme="4" tint="0.59999"/>
      </patternFill>
    </fill>
    <fill>
      <patternFill patternType="solid">
        <fgColor theme="4" tint="0.39998"/>
      </patternFill>
    </fill>
    <fill>
      <patternFill patternType="solid">
        <fgColor theme="5"/>
      </patternFill>
    </fill>
    <fill>
      <patternFill patternType="solid">
        <fgColor theme="5" tint="0.79998"/>
      </patternFill>
    </fill>
    <fill>
      <patternFill patternType="solid">
        <fgColor theme="5" tint="0.59999"/>
      </patternFill>
    </fill>
    <fill>
      <patternFill patternType="solid">
        <fgColor theme="5" tint="0.39998"/>
      </patternFill>
    </fill>
    <fill>
      <patternFill patternType="solid">
        <fgColor theme="6"/>
      </patternFill>
    </fill>
    <fill>
      <patternFill patternType="solid">
        <fgColor theme="6" tint="0.79998"/>
      </patternFill>
    </fill>
    <fill>
      <patternFill patternType="solid">
        <fgColor theme="6" tint="0.59999"/>
      </patternFill>
    </fill>
    <fill>
      <patternFill patternType="solid">
        <fgColor theme="6" tint="0.39998"/>
      </patternFill>
    </fill>
    <fill>
      <patternFill patternType="solid">
        <fgColor theme="7"/>
      </patternFill>
    </fill>
    <fill>
      <patternFill patternType="solid">
        <fgColor theme="7" tint="0.79998"/>
      </patternFill>
    </fill>
    <fill>
      <patternFill patternType="solid">
        <fgColor theme="7" tint="0.59999"/>
      </patternFill>
    </fill>
    <fill>
      <patternFill patternType="solid">
        <fgColor theme="7" tint="0.39998"/>
      </patternFill>
    </fill>
    <fill>
      <patternFill patternType="solid">
        <fgColor theme="8"/>
      </patternFill>
    </fill>
    <fill>
      <patternFill patternType="solid">
        <fgColor theme="8" tint="0.79998"/>
      </patternFill>
    </fill>
    <fill>
      <patternFill patternType="solid">
        <fgColor theme="8" tint="0.59999"/>
      </patternFill>
    </fill>
    <fill>
      <patternFill patternType="solid">
        <fgColor theme="8" tint="0.39998"/>
      </patternFill>
    </fill>
    <fill>
      <patternFill patternType="solid">
        <fgColor theme="9"/>
      </patternFill>
    </fill>
    <fill>
      <patternFill patternType="solid">
        <fgColor theme="9" tint="0.79998"/>
      </patternFill>
    </fill>
    <fill>
      <patternFill patternType="solid">
        <fgColor theme="9" tint="0.59999"/>
      </patternFill>
    </fill>
    <fill>
      <patternFill patternType="solid">
        <fgColor theme="9" tint="0.39998"/>
      </patternFill>
    </fill>
  </fills>
  <borders count="28">
    <border/>
    <border>
      <bottom style="thin">
        <color auto="1"/>
      </bottom>
    </border>
    <border>
      <left style="thin">
        <color auto="1"/>
      </left>
      <right style="thin">
        <color auto="1"/>
      </right>
      <top style="thin">
        <color auto="1"/>
      </top>
      <bottom style="thin">
        <color auto="1"/>
      </bottom>
    </border>
    <border>
      <left style="thin">
        <color auto="1"/>
      </left>
      <right style="thin">
        <color auto="1"/>
      </right>
      <top style="thin">
        <color auto="1"/>
      </top>
    </border>
    <border>
      <left style="thin">
        <color auto="1"/>
      </left>
      <top style="thin">
        <color auto="1"/>
      </top>
      <bottom style="thin">
        <color auto="1"/>
      </bottom>
    </border>
    <border>
      <left style="medium">
        <color auto="1"/>
      </left>
      <right style="medium">
        <color auto="1"/>
      </right>
      <top style="medium">
        <color auto="1"/>
      </top>
      <bottom style="medium">
        <color auto="1"/>
      </bottom>
    </border>
    <border>
      <right style="thin">
        <color auto="1"/>
      </right>
      <top style="thin">
        <color auto="1"/>
      </top>
      <bottom style="thin">
        <color auto="1"/>
      </bottom>
    </border>
    <border>
      <left style="thin">
        <color auto="1"/>
      </left>
      <right style="thin">
        <color auto="1"/>
      </right>
      <bottom style="thin">
        <color auto="1"/>
      </bottom>
    </border>
    <border>
      <left style="medium">
        <color auto="1"/>
      </left>
      <bottom style="thin">
        <color auto="1"/>
      </bottom>
    </border>
    <border>
      <right style="thin">
        <color auto="1"/>
      </right>
      <bottom style="thin">
        <color auto="1"/>
      </bottom>
    </border>
    <border>
      <left style="medium">
        <color auto="1"/>
      </left>
      <top style="thin">
        <color auto="1"/>
      </top>
      <bottom style="thin">
        <color auto="1"/>
      </bottom>
    </border>
    <border>
      <top style="thin">
        <color auto="1"/>
      </top>
      <bottom style="thin">
        <color auto="1"/>
      </bottom>
    </border>
    <border>
      <left style="thin">
        <color auto="1"/>
      </left>
      <right style="thin">
        <color auto="1"/>
      </right>
    </border>
    <border>
      <left style="thin">
        <color auto="1"/>
      </left>
      <bottom style="thin">
        <color auto="1"/>
      </bottom>
    </border>
    <border>
      <left style="thin">
        <color rgb="FFB2B2B2"/>
      </left>
      <right style="thin">
        <color rgb="FFB2B2B2"/>
      </right>
      <top style="thin">
        <color rgb="FFB2B2B2"/>
      </top>
      <bottom style="thin">
        <color rgb="FFB2B2B2"/>
      </bottom>
    </border>
    <border>
      <bottom style="medium">
        <color theme="4"/>
      </bottom>
    </border>
    <border>
      <bottom style="medium">
        <color theme="4" tint="0.4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bottom style="double">
        <color rgb="FFFF8001"/>
      </bottom>
    </border>
    <border>
      <top style="thin">
        <color theme="4"/>
      </top>
      <bottom style="double">
        <color theme="4"/>
      </bottom>
    </border>
    <border>
      <left style="medium">
        <color auto="1"/>
      </left>
      <right style="thin">
        <color auto="1"/>
      </right>
      <bottom style="thin">
        <color auto="1"/>
      </bottom>
    </border>
    <border>
      <right style="thin">
        <color auto="1"/>
      </right>
    </border>
    <border>
      <left style="medium">
        <color auto="1"/>
      </left>
      <right style="thin">
        <color auto="1"/>
      </right>
      <top style="thin">
        <color auto="1"/>
      </top>
      <bottom style="thin">
        <color auto="1"/>
      </bottom>
    </border>
    <border>
      <top style="thin">
        <color auto="1"/>
      </top>
    </border>
    <border>
      <right style="thin">
        <color auto="1"/>
      </right>
      <top style="thin">
        <color auto="1"/>
      </top>
    </border>
    <border>
      <left style="thin">
        <color auto="1"/>
      </left>
    </border>
  </borders>
  <cellStyleXfs count="49">
    <xf numFmtId="0" fontId="24" fillId="0" borderId="0" applyAlignment="1">
      <alignment vertical="center"/>
    </xf>
    <xf numFmtId="43" fontId="24" fillId="0" borderId="0" applyAlignment="1">
      <alignment vertical="center"/>
    </xf>
    <xf numFmtId="44" fontId="24" fillId="0" borderId="0" applyAlignment="1">
      <alignment vertical="center"/>
    </xf>
    <xf numFmtId="9" fontId="24" fillId="0" borderId="0" applyAlignment="1">
      <alignment vertical="center"/>
    </xf>
    <xf numFmtId="41" fontId="24" fillId="0" borderId="0" applyAlignment="1">
      <alignment vertical="center"/>
    </xf>
    <xf numFmtId="42" fontId="24" fillId="0" borderId="0" applyAlignment="1">
      <alignment vertical="center"/>
    </xf>
    <xf numFmtId="0" fontId="5" fillId="0" borderId="0" applyAlignment="1">
      <alignment vertical="center"/>
    </xf>
    <xf numFmtId="0" fontId="6" fillId="0" borderId="0" applyAlignment="1">
      <alignment vertical="center"/>
    </xf>
    <xf numFmtId="0" fontId="24" fillId="5" borderId="14"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15" applyAlignment="1">
      <alignment vertical="center"/>
    </xf>
    <xf numFmtId="0" fontId="11" fillId="0" borderId="15" applyAlignment="1">
      <alignment vertical="center"/>
    </xf>
    <xf numFmtId="0" fontId="12" fillId="0" borderId="16" applyAlignment="1">
      <alignment vertical="center"/>
    </xf>
    <xf numFmtId="0" fontId="12" fillId="0" borderId="0" applyAlignment="1">
      <alignment vertical="center"/>
    </xf>
    <xf numFmtId="0" fontId="13" fillId="6" borderId="17" applyAlignment="1">
      <alignment vertical="center"/>
    </xf>
    <xf numFmtId="0" fontId="14" fillId="7" borderId="18" applyAlignment="1">
      <alignment vertical="center"/>
    </xf>
    <xf numFmtId="0" fontId="15" fillId="7" borderId="17" applyAlignment="1">
      <alignment vertical="center"/>
    </xf>
    <xf numFmtId="0" fontId="16" fillId="8" borderId="19" applyAlignment="1">
      <alignment vertical="center"/>
    </xf>
    <xf numFmtId="0" fontId="17" fillId="0" borderId="20" applyAlignment="1">
      <alignment vertical="center"/>
    </xf>
    <xf numFmtId="0" fontId="18" fillId="0" borderId="21"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4" fillId="13" borderId="0" applyAlignment="1">
      <alignment vertical="center"/>
    </xf>
    <xf numFmtId="0" fontId="24" fillId="14" borderId="0" applyAlignment="1">
      <alignment vertical="center"/>
    </xf>
    <xf numFmtId="0" fontId="22" fillId="15" borderId="0" applyAlignment="1">
      <alignment vertical="center"/>
    </xf>
    <xf numFmtId="0" fontId="22" fillId="16" borderId="0" applyAlignment="1">
      <alignment vertical="center"/>
    </xf>
    <xf numFmtId="0" fontId="24" fillId="17" borderId="0" applyAlignment="1">
      <alignment vertical="center"/>
    </xf>
    <xf numFmtId="0" fontId="24" fillId="18" borderId="0" applyAlignment="1">
      <alignment vertical="center"/>
    </xf>
    <xf numFmtId="0" fontId="22" fillId="19" borderId="0" applyAlignment="1">
      <alignment vertical="center"/>
    </xf>
    <xf numFmtId="0" fontId="22" fillId="20" borderId="0" applyAlignment="1">
      <alignment vertical="center"/>
    </xf>
    <xf numFmtId="0" fontId="24" fillId="21" borderId="0" applyAlignment="1">
      <alignment vertical="center"/>
    </xf>
    <xf numFmtId="0" fontId="24" fillId="22" borderId="0" applyAlignment="1">
      <alignment vertical="center"/>
    </xf>
    <xf numFmtId="0" fontId="22" fillId="23" borderId="0" applyAlignment="1">
      <alignment vertical="center"/>
    </xf>
    <xf numFmtId="0" fontId="22" fillId="24" borderId="0" applyAlignment="1">
      <alignment vertical="center"/>
    </xf>
    <xf numFmtId="0" fontId="24" fillId="25" borderId="0" applyAlignment="1">
      <alignment vertical="center"/>
    </xf>
    <xf numFmtId="0" fontId="24" fillId="26" borderId="0" applyAlignment="1">
      <alignment vertical="center"/>
    </xf>
    <xf numFmtId="0" fontId="22" fillId="27" borderId="0" applyAlignment="1">
      <alignment vertical="center"/>
    </xf>
    <xf numFmtId="0" fontId="22" fillId="28" borderId="0" applyAlignment="1">
      <alignment vertical="center"/>
    </xf>
    <xf numFmtId="0" fontId="24" fillId="29" borderId="0" applyAlignment="1">
      <alignment vertical="center"/>
    </xf>
    <xf numFmtId="0" fontId="24" fillId="30" borderId="0" applyAlignment="1">
      <alignment vertical="center"/>
    </xf>
    <xf numFmtId="0" fontId="22" fillId="31" borderId="0" applyAlignment="1">
      <alignment vertical="center"/>
    </xf>
    <xf numFmtId="0" fontId="22" fillId="32" borderId="0" applyAlignment="1">
      <alignment vertical="center"/>
    </xf>
    <xf numFmtId="0" fontId="24" fillId="33" borderId="0" applyAlignment="1">
      <alignment vertical="center"/>
    </xf>
    <xf numFmtId="0" fontId="24" fillId="34" borderId="0" applyAlignment="1">
      <alignment vertical="center"/>
    </xf>
    <xf numFmtId="0" fontId="22" fillId="35" borderId="0" applyAlignment="1">
      <alignment vertical="center"/>
    </xf>
  </cellStyleXfs>
  <cellXfs count="61">
    <xf numFmtId="0" fontId="0" fillId="0" borderId="0" applyAlignment="1" pivotButton="0" quotePrefix="0" xfId="0">
      <alignment vertical="center"/>
    </xf>
    <xf numFmtId="0" fontId="0" fillId="0" borderId="0" applyAlignment="1" pivotButton="0" quotePrefix="0" xfId="0">
      <alignment vertical="center"/>
    </xf>
    <xf numFmtId="0" fontId="1" fillId="0" borderId="0" applyAlignment="1" pivotButton="0" quotePrefix="0" xfId="0">
      <alignment vertical="center"/>
    </xf>
    <xf numFmtId="0" fontId="2" fillId="0" borderId="1" applyAlignment="1" pivotButton="0" quotePrefix="0" xfId="0">
      <alignment horizontal="left"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2" applyAlignment="1" pivotButton="0" quotePrefix="0" xfId="0">
      <alignment horizontal="center" vertical="center" wrapText="1"/>
    </xf>
    <xf numFmtId="0" fontId="0" fillId="0" borderId="4" applyAlignment="1" pivotButton="0" quotePrefix="0" xfId="0">
      <alignment vertical="center"/>
    </xf>
    <xf numFmtId="164" fontId="0" fillId="2" borderId="5" applyAlignment="1" pivotButton="0" quotePrefix="0" xfId="0">
      <alignment horizontal="center" vertical="center"/>
    </xf>
    <xf numFmtId="0" fontId="0" fillId="3" borderId="6" applyAlignment="1" pivotButton="0" quotePrefix="0" xfId="0">
      <alignment horizontal="center" vertical="center"/>
    </xf>
    <xf numFmtId="165" fontId="0" fillId="3" borderId="2" applyAlignment="1" pivotButton="0" quotePrefix="0" xfId="0">
      <alignment horizontal="center" vertical="center"/>
    </xf>
    <xf numFmtId="164" fontId="0" fillId="3" borderId="2" applyAlignment="1" pivotButton="0" quotePrefix="0" xfId="0">
      <alignment horizontal="center" vertical="center"/>
    </xf>
    <xf numFmtId="0" fontId="0" fillId="0" borderId="3"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5" applyAlignment="1" pivotButton="0" quotePrefix="0" xfId="0">
      <alignment horizontal="center" vertical="center"/>
    </xf>
    <xf numFmtId="10" fontId="0" fillId="3" borderId="5" applyAlignment="1" pivotButton="0" quotePrefix="0" xfId="0">
      <alignment horizontal="center" vertical="center"/>
    </xf>
    <xf numFmtId="10" fontId="3" fillId="2" borderId="5" applyAlignment="1" pivotButton="0" quotePrefix="0" xfId="0">
      <alignment horizontal="center" vertical="center"/>
    </xf>
    <xf numFmtId="0" fontId="0" fillId="0" borderId="8" applyAlignment="1" pivotButton="0" quotePrefix="0" xfId="0">
      <alignment horizontal="left" vertical="center" wrapText="1"/>
    </xf>
    <xf numFmtId="0" fontId="0" fillId="0" borderId="1" applyAlignment="1" pivotButton="0" quotePrefix="0" xfId="0">
      <alignment horizontal="left" vertical="center" wrapText="1"/>
    </xf>
    <xf numFmtId="0" fontId="0" fillId="0" borderId="9" applyAlignment="1" pivotButton="0" quotePrefix="0" xfId="0">
      <alignment horizontal="left" vertical="center" wrapText="1"/>
    </xf>
    <xf numFmtId="0" fontId="0" fillId="0" borderId="10" applyAlignment="1" pivotButton="0" quotePrefix="0" xfId="0">
      <alignment horizontal="left" vertical="center"/>
    </xf>
    <xf numFmtId="0" fontId="0" fillId="0" borderId="11" applyAlignment="1" pivotButton="0" quotePrefix="0" xfId="0">
      <alignment horizontal="left" vertical="center"/>
    </xf>
    <xf numFmtId="0" fontId="0" fillId="0" borderId="6" applyAlignment="1" pivotButton="0" quotePrefix="0" xfId="0">
      <alignment horizontal="left" vertical="center"/>
    </xf>
    <xf numFmtId="0" fontId="0" fillId="0" borderId="12" applyAlignment="1" pivotButton="0" quotePrefix="0" xfId="0">
      <alignment horizontal="center" vertical="center" wrapText="1"/>
    </xf>
    <xf numFmtId="164" fontId="3" fillId="2" borderId="5" applyAlignment="1" pivotButton="0" quotePrefix="0" xfId="0">
      <alignment horizontal="center" vertical="center"/>
    </xf>
    <xf numFmtId="0" fontId="0" fillId="0" borderId="10" applyAlignment="1" pivotButton="0" quotePrefix="0" xfId="0">
      <alignment horizontal="left" vertical="center" wrapText="1"/>
    </xf>
    <xf numFmtId="0" fontId="0" fillId="0" borderId="11" applyAlignment="1" pivotButton="0" quotePrefix="0" xfId="0">
      <alignment horizontal="left" vertical="center" wrapText="1"/>
    </xf>
    <xf numFmtId="0" fontId="0" fillId="0" borderId="6" applyAlignment="1" pivotButton="0" quotePrefix="0" xfId="0">
      <alignment horizontal="left" vertical="center" wrapText="1"/>
    </xf>
    <xf numFmtId="166" fontId="3" fillId="2" borderId="5" applyAlignment="1" pivotButton="0" quotePrefix="0" xfId="0">
      <alignment horizontal="center" vertical="center"/>
    </xf>
    <xf numFmtId="0" fontId="4" fillId="0" borderId="10" applyAlignment="1" pivotButton="0" quotePrefix="0" xfId="0">
      <alignment horizontal="left" vertical="center" wrapText="1"/>
    </xf>
    <xf numFmtId="0" fontId="4" fillId="0" borderId="11" applyAlignment="1" pivotButton="0" quotePrefix="0" xfId="0">
      <alignment horizontal="left" vertical="center" wrapText="1"/>
    </xf>
    <xf numFmtId="0" fontId="4" fillId="0" borderId="6" applyAlignment="1" pivotButton="0" quotePrefix="0" xfId="0">
      <alignment horizontal="left" vertical="center" wrapText="1"/>
    </xf>
    <xf numFmtId="165" fontId="0" fillId="3" borderId="5" applyAlignment="1" pivotButton="0" quotePrefix="0" xfId="0">
      <alignment horizontal="center" vertical="center"/>
    </xf>
    <xf numFmtId="164" fontId="0" fillId="3" borderId="5" applyAlignment="1" pivotButton="0" quotePrefix="0" xfId="0">
      <alignment horizontal="center" vertical="center"/>
    </xf>
    <xf numFmtId="0" fontId="2" fillId="0" borderId="4" applyAlignment="1" pivotButton="0" quotePrefix="0" xfId="0">
      <alignment vertical="center"/>
    </xf>
    <xf numFmtId="164" fontId="0" fillId="4" borderId="5" applyAlignment="1" pivotButton="0" quotePrefix="0" xfId="0">
      <alignment horizontal="center" vertical="center"/>
    </xf>
    <xf numFmtId="0" fontId="0" fillId="0" borderId="13" applyAlignment="1" pivotButton="0" quotePrefix="0" xfId="0">
      <alignment horizontal="left" vertical="center" wrapText="1"/>
    </xf>
    <xf numFmtId="0" fontId="0" fillId="0" borderId="0" pivotButton="0" quotePrefix="0" xfId="0"/>
    <xf numFmtId="0" fontId="0" fillId="0" borderId="1" pivotButton="0" quotePrefix="0" xfId="0"/>
    <xf numFmtId="164" fontId="0" fillId="2" borderId="5" applyAlignment="1" pivotButton="0" quotePrefix="0" xfId="0">
      <alignment horizontal="center" vertical="center"/>
    </xf>
    <xf numFmtId="165" fontId="0" fillId="3" borderId="2" applyAlignment="1" pivotButton="0" quotePrefix="0" xfId="0">
      <alignment horizontal="center" vertical="center"/>
    </xf>
    <xf numFmtId="164" fontId="0" fillId="3" borderId="2" applyAlignment="1" pivotButton="0" quotePrefix="0" xfId="0">
      <alignment horizontal="center" vertical="center"/>
    </xf>
    <xf numFmtId="0" fontId="0" fillId="0" borderId="12" pivotButton="0" quotePrefix="0" xfId="0"/>
    <xf numFmtId="0" fontId="0" fillId="0" borderId="7" pivotButton="0" quotePrefix="0" xfId="0"/>
    <xf numFmtId="0" fontId="0" fillId="0" borderId="22" applyAlignment="1" pivotButton="0" quotePrefix="0" xfId="0">
      <alignment horizontal="left" vertical="center" wrapText="1"/>
    </xf>
    <xf numFmtId="0" fontId="0" fillId="0" borderId="9" pivotButton="0" quotePrefix="0" xfId="0"/>
    <xf numFmtId="0" fontId="0" fillId="0" borderId="24" applyAlignment="1" pivotButton="0" quotePrefix="0" xfId="0">
      <alignment horizontal="left" vertical="center"/>
    </xf>
    <xf numFmtId="0" fontId="0" fillId="0" borderId="11" pivotButton="0" quotePrefix="0" xfId="0"/>
    <xf numFmtId="0" fontId="0" fillId="0" borderId="6" pivotButton="0" quotePrefix="0" xfId="0"/>
    <xf numFmtId="164" fontId="3" fillId="2" borderId="5" applyAlignment="1" pivotButton="0" quotePrefix="0" xfId="0">
      <alignment horizontal="center" vertical="center"/>
    </xf>
    <xf numFmtId="0" fontId="0" fillId="0" borderId="24" applyAlignment="1" pivotButton="0" quotePrefix="0" xfId="0">
      <alignment horizontal="left" vertical="center" wrapText="1"/>
    </xf>
    <xf numFmtId="166" fontId="3" fillId="2" borderId="5" applyAlignment="1" pivotButton="0" quotePrefix="0" xfId="0">
      <alignment horizontal="center" vertical="center"/>
    </xf>
    <xf numFmtId="0" fontId="4" fillId="0" borderId="24" applyAlignment="1" pivotButton="0" quotePrefix="0" xfId="0">
      <alignment horizontal="left" vertical="center" wrapText="1"/>
    </xf>
    <xf numFmtId="165" fontId="0" fillId="3" borderId="5" applyAlignment="1" pivotButton="0" quotePrefix="0" xfId="0">
      <alignment horizontal="center" vertical="center"/>
    </xf>
    <xf numFmtId="164" fontId="0" fillId="3" borderId="5" applyAlignment="1" pivotButton="0" quotePrefix="0" xfId="0">
      <alignment horizontal="center" vertical="center"/>
    </xf>
    <xf numFmtId="164" fontId="0" fillId="4" borderId="5" applyAlignment="1" pivotButton="0" quotePrefix="0" xfId="0">
      <alignment horizontal="center" vertical="center"/>
    </xf>
    <xf numFmtId="0" fontId="0" fillId="0" borderId="7" applyAlignment="1" pivotButton="0" quotePrefix="0" xfId="0">
      <alignment horizontal="left" vertical="center" wrapText="1"/>
    </xf>
    <xf numFmtId="164" fontId="0" fillId="2" borderId="5" applyAlignment="1" applyProtection="1" pivotButton="0" quotePrefix="0" xfId="0">
      <alignment horizontal="center" vertical="center"/>
      <protection locked="0" hidden="0"/>
    </xf>
    <xf numFmtId="10" fontId="3" fillId="2" borderId="5" applyAlignment="1" applyProtection="1" pivotButton="0" quotePrefix="0" xfId="0">
      <alignment horizontal="center" vertical="center"/>
      <protection locked="0" hidden="0"/>
    </xf>
    <xf numFmtId="164" fontId="3" fillId="2" borderId="5" applyAlignment="1" applyProtection="1" pivotButton="0" quotePrefix="0" xfId="0">
      <alignment horizontal="center" vertical="center"/>
      <protection locked="0" hidden="0"/>
    </xf>
    <xf numFmtId="166" fontId="3" fillId="2" borderId="5" applyAlignment="1" applyProtection="1" pivotButton="0" quotePrefix="0" xfId="0">
      <alignment horizontal="center" vertical="center"/>
      <protection locked="0" hidden="0"/>
    </xf>
  </cellXfs>
  <cellStyles count="49">
    <cellStyle name="常规" xfId="0"/>
    <cellStyle name="千位分隔" xfId="1"/>
    <cellStyle name="货币" xfId="2"/>
    <cellStyle name="百分比" xfId="3"/>
    <cellStyle name="千位分隔[0]" xfId="4"/>
    <cellStyle name="货币[0]" xfId="5"/>
    <cellStyle name="超链接" xfId="6"/>
    <cellStyle name="已访问的超链接" xfId="7"/>
    <cellStyle name="注释" xfId="8"/>
    <cellStyle name="警告文本" xfId="9"/>
    <cellStyle name="标题" xfId="10"/>
    <cellStyle name="解释性文本" xfId="11"/>
    <cellStyle name="标题 1" xfId="12"/>
    <cellStyle name="标题 2" xfId="13"/>
    <cellStyle name="标题 3" xfId="14"/>
    <cellStyle name="标题 4" xfId="15"/>
    <cellStyle name="输入" xfId="16"/>
    <cellStyle name="输出" xfId="17"/>
    <cellStyle name="计算" xfId="18"/>
    <cellStyle name="检查单元格" xfId="19"/>
    <cellStyle name="链接单元格" xfId="20"/>
    <cellStyle name="汇总" xfId="21"/>
    <cellStyle name="好" xfId="22"/>
    <cellStyle name="差" xfId="23"/>
    <cellStyle name="适中" xfId="24"/>
    <cellStyle name="强调文字颜色 1" xfId="25"/>
    <cellStyle name="20% - 强调文字颜色 1" xfId="26"/>
    <cellStyle name="40% - 强调文字颜色 1" xfId="27"/>
    <cellStyle name="60% - 强调文字颜色 1" xfId="28"/>
    <cellStyle name="强调文字颜色 2" xfId="29"/>
    <cellStyle name="20% - 强调文字颜色 2" xfId="30"/>
    <cellStyle name="40% - 强调文字颜色 2" xfId="31"/>
    <cellStyle name="60% - 强调文字颜色 2" xfId="32"/>
    <cellStyle name="强调文字颜色 3" xfId="33"/>
    <cellStyle name="20% - 强调文字颜色 3" xfId="34"/>
    <cellStyle name="40% - 强调文字颜色 3" xfId="35"/>
    <cellStyle name="60% - 强调文字颜色 3" xfId="36"/>
    <cellStyle name="强调文字颜色 4" xfId="37"/>
    <cellStyle name="20% - 强调文字颜色 4" xfId="38"/>
    <cellStyle name="40% - 强调文字颜色 4" xfId="39"/>
    <cellStyle name="60% - 强调文字颜色 4" xfId="40"/>
    <cellStyle name="强调文字颜色 5" xfId="41"/>
    <cellStyle name="20% - 强调文字颜色 5" xfId="42"/>
    <cellStyle name="40% - 强调文字颜色 5" xfId="43"/>
    <cellStyle name="60% - 强调文字颜色 5" xfId="44"/>
    <cellStyle name="强调文字颜色 6" xfId="45"/>
    <cellStyle name="20% - 强调文字颜色 6" xfId="46"/>
    <cellStyle name="40% - 强调文字颜色 6" xfId="47"/>
    <cellStyle name="60% - 强调文字颜色 6" xfId="4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fitToPage="1"/>
  </sheetPr>
  <dimension ref="A1:H23"/>
  <sheetViews>
    <sheetView workbookViewId="0">
      <selection activeCell="A1" sqref="A1"/>
    </sheetView>
  </sheetViews>
  <sheetFormatPr baseColWidth="8" defaultColWidth="9" defaultRowHeight="16.79999923706055"/>
  <cols>
    <col width="8.375" customWidth="1" style="1" min="1" max="1"/>
    <col width="25.25" customWidth="1" style="1" min="2" max="2"/>
    <col width="12.375" customWidth="1" style="1" min="3" max="3"/>
    <col width="11.625" customWidth="1" style="1" min="4" max="4"/>
    <col width="10.75" customWidth="1" style="1" min="5" max="5"/>
    <col width="16.75" customWidth="1" style="1" min="6" max="6"/>
    <col width="24" customWidth="1" style="1" min="7" max="7"/>
    <col width="22" customWidth="1" style="1" min="8" max="8"/>
    <col width="9" customWidth="1" style="1" min="9" max="16384"/>
  </cols>
  <sheetData>
    <row r="1" ht="20.39999961853027" customHeight="1" s="37">
      <c r="D1" s="2" t="inlineStr">
        <is>
          <t>流动资金类贷款授信额度测算表</t>
        </is>
      </c>
    </row>
    <row r="2">
      <c r="A2" s="3" t="inlineStr">
        <is>
          <t>请在黄色区域中录入或从财务报表引入数据</t>
        </is>
      </c>
      <c r="B2" s="38" t="n"/>
      <c r="C2" s="38" t="n"/>
      <c r="H2" s="1" t="inlineStr">
        <is>
          <t>单位：万元</t>
        </is>
      </c>
    </row>
    <row r="3" ht="17.54999923706055" customHeight="1" s="37">
      <c r="A3" s="4" t="inlineStr">
        <is>
          <t>类别</t>
        </is>
      </c>
      <c r="B3" s="4" t="inlineStr">
        <is>
          <t>项目</t>
        </is>
      </c>
      <c r="C3" s="5" t="inlineStr">
        <is>
          <t>上两个年度末</t>
        </is>
      </c>
      <c r="D3" s="5" t="inlineStr">
        <is>
          <t>上一个年度末</t>
        </is>
      </c>
      <c r="E3" s="5" t="inlineStr">
        <is>
          <t>最近一期</t>
        </is>
      </c>
      <c r="F3" s="4" t="inlineStr">
        <is>
          <t>上两个年度平均值</t>
        </is>
      </c>
      <c r="G3" s="4" t="inlineStr">
        <is>
          <t>上两年度周转次数（次/年）</t>
        </is>
      </c>
      <c r="H3" s="4" t="inlineStr">
        <is>
          <t>上两年度周转天数（天）</t>
        </is>
      </c>
    </row>
    <row r="4" ht="17.54999923706055" customHeight="1" s="37">
      <c r="A4" s="6" t="inlineStr">
        <is>
          <t>资金来源占用</t>
        </is>
      </c>
      <c r="B4" s="7" t="inlineStr">
        <is>
          <t>应收账款</t>
        </is>
      </c>
      <c r="C4" s="57" t="n"/>
      <c r="D4" s="57" t="n"/>
      <c r="E4" s="57" t="n"/>
      <c r="F4" s="9">
        <f>(C4+D4)/2</f>
        <v/>
      </c>
      <c r="G4" s="40">
        <f>IF(F4=0,"",$D$9/F4)</f>
        <v/>
      </c>
      <c r="H4" s="41">
        <f>IF(OR(G4="",G4=0),"",360/G4)</f>
        <v/>
      </c>
    </row>
    <row r="5" ht="17.54999923706055" customHeight="1" s="37">
      <c r="A5" s="42" t="n"/>
      <c r="B5" s="7" t="inlineStr">
        <is>
          <t>预付账款</t>
        </is>
      </c>
      <c r="C5" s="57" t="n"/>
      <c r="D5" s="57" t="n"/>
      <c r="E5" s="57" t="n"/>
      <c r="F5" s="9">
        <f>(C5+D5)/2</f>
        <v/>
      </c>
      <c r="G5" s="40">
        <f>IF(F5=0,"",$D$10/F5)</f>
        <v/>
      </c>
      <c r="H5" s="41">
        <f>IF(OR(G5="",G5=0),"",360/G5)</f>
        <v/>
      </c>
    </row>
    <row r="6" ht="17.54999923706055" customHeight="1" s="37">
      <c r="A6" s="43" t="n"/>
      <c r="B6" s="7" t="inlineStr">
        <is>
          <t>存货</t>
        </is>
      </c>
      <c r="C6" s="57" t="n"/>
      <c r="D6" s="57" t="n"/>
      <c r="E6" s="57" t="n"/>
      <c r="F6" s="9">
        <f>(C6+D6)/2</f>
        <v/>
      </c>
      <c r="G6" s="40">
        <f>IF(F6=0,"",$D$10/F6)</f>
        <v/>
      </c>
      <c r="H6" s="41">
        <f>IF(OR(G6="",G6=0),"",360/G6)</f>
        <v/>
      </c>
    </row>
    <row r="7" ht="17.54999923706055" customHeight="1" s="37">
      <c r="A7" s="6" t="inlineStr">
        <is>
          <t>资金支出占用</t>
        </is>
      </c>
      <c r="B7" s="7" t="inlineStr">
        <is>
          <t>应付账款</t>
        </is>
      </c>
      <c r="C7" s="57" t="n"/>
      <c r="D7" s="57" t="n"/>
      <c r="E7" s="57" t="n"/>
      <c r="F7" s="9">
        <f>(C7+D7)/2</f>
        <v/>
      </c>
      <c r="G7" s="40">
        <f>IF(F7=0,"",$D$10/F7)</f>
        <v/>
      </c>
      <c r="H7" s="41">
        <f>IF(OR(G7="",G7=0),"",360/G7)</f>
        <v/>
      </c>
    </row>
    <row r="8" ht="17.54999923706055" customHeight="1" s="37">
      <c r="A8" s="43" t="n"/>
      <c r="B8" s="7" t="inlineStr">
        <is>
          <t>预收账款</t>
        </is>
      </c>
      <c r="C8" s="57" t="n"/>
      <c r="D8" s="57" t="n"/>
      <c r="E8" s="57" t="n"/>
      <c r="F8" s="9">
        <f>(C8+D8)/2</f>
        <v/>
      </c>
      <c r="G8" s="40">
        <f>IF(F8=0,"",$D$9/F8)</f>
        <v/>
      </c>
      <c r="H8" s="41">
        <f>IF(OR(G8="",G8=0),"",360/G8)</f>
        <v/>
      </c>
    </row>
    <row r="9" ht="17.54999923706055" customHeight="1" s="37">
      <c r="A9" s="6" t="inlineStr">
        <is>
          <t>经营成果</t>
        </is>
      </c>
      <c r="B9" s="7" t="inlineStr">
        <is>
          <t>主营业务收入</t>
        </is>
      </c>
      <c r="C9" s="57" t="n"/>
      <c r="D9" s="57" t="n"/>
      <c r="E9" s="57" t="n"/>
      <c r="F9" s="9">
        <f>(C9+D9)/2</f>
        <v/>
      </c>
      <c r="G9" s="14" t="inlineStr">
        <is>
          <t>—</t>
        </is>
      </c>
      <c r="H9" s="14" t="inlineStr">
        <is>
          <t>—</t>
        </is>
      </c>
    </row>
    <row r="10" ht="17.54999923706055" customHeight="1" s="37">
      <c r="A10" s="42" t="n"/>
      <c r="B10" s="7" t="inlineStr">
        <is>
          <t>主营业务成本</t>
        </is>
      </c>
      <c r="C10" s="57" t="n"/>
      <c r="D10" s="57" t="n"/>
      <c r="E10" s="57" t="n"/>
      <c r="F10" s="9">
        <f>(C10+D10)/2</f>
        <v/>
      </c>
      <c r="G10" s="14" t="inlineStr">
        <is>
          <t>—</t>
        </is>
      </c>
      <c r="H10" s="14" t="inlineStr">
        <is>
          <t>—</t>
        </is>
      </c>
    </row>
    <row r="11" ht="17.54999923706055" customHeight="1" s="37">
      <c r="A11" s="42" t="n"/>
      <c r="B11" s="7" t="inlineStr">
        <is>
          <t>净利润</t>
        </is>
      </c>
      <c r="C11" s="57" t="n"/>
      <c r="D11" s="57" t="n"/>
      <c r="E11" s="57" t="n"/>
      <c r="F11" s="9">
        <f>(C11+D11)/2</f>
        <v/>
      </c>
      <c r="G11" s="14" t="inlineStr">
        <is>
          <t>—</t>
        </is>
      </c>
      <c r="H11" s="14" t="inlineStr">
        <is>
          <t>—</t>
        </is>
      </c>
    </row>
    <row r="12" ht="27.75" customHeight="1" s="37">
      <c r="A12" s="43" t="n"/>
      <c r="B12" s="7" t="inlineStr">
        <is>
          <t>销售收入增长率（%）</t>
        </is>
      </c>
      <c r="C12" s="14" t="inlineStr">
        <is>
          <t>—</t>
        </is>
      </c>
      <c r="D12" s="15">
        <f>IF(C9=0,"",(D9-C9)/C9)</f>
        <v/>
      </c>
      <c r="E12" s="58" t="n"/>
      <c r="F12" s="44" t="inlineStr">
        <is>
          <t>最近一期增长率计算=(当期累计的销售收入*12/已有期数-上年销售额)/上年销售额，或=(当期累计销售-去年同期销售)/去年同期销售，供参考</t>
        </is>
      </c>
      <c r="G12" s="38" t="n"/>
      <c r="H12" s="45" t="n"/>
    </row>
    <row r="13" ht="17.54999923706055" customHeight="1" s="37">
      <c r="A13" s="6" t="inlineStr">
        <is>
          <t>测算参数</t>
        </is>
      </c>
      <c r="B13" s="7" t="inlineStr">
        <is>
          <t>预计今年销售收入增长率（%）</t>
        </is>
      </c>
      <c r="C13" s="14" t="inlineStr">
        <is>
          <t>—</t>
        </is>
      </c>
      <c r="D13" s="14" t="inlineStr">
        <is>
          <t>—</t>
        </is>
      </c>
      <c r="E13" s="58" t="n"/>
      <c r="F13" s="46" t="inlineStr">
        <is>
          <t>应参照上一年度和最近一期的增长率合理确定</t>
        </is>
      </c>
      <c r="G13" s="47" t="n"/>
      <c r="H13" s="48" t="n"/>
    </row>
    <row r="14" ht="29.25" customHeight="1" s="37">
      <c r="A14" s="42" t="n"/>
      <c r="B14" s="7" t="inlineStr">
        <is>
          <t>现有自有资金</t>
        </is>
      </c>
      <c r="C14" s="14" t="inlineStr">
        <is>
          <t>—</t>
        </is>
      </c>
      <c r="D14" s="14" t="inlineStr">
        <is>
          <t>—</t>
        </is>
      </c>
      <c r="E14" s="59" t="n"/>
      <c r="F14" s="50" t="inlineStr">
        <is>
          <t>指上年未分配利润、当期净利润与折旧之和，扣除资本性支出、股利支付、到期的银行借款和其他借款后，可用于弥补营运资金缺口的资金</t>
        </is>
      </c>
      <c r="G14" s="47" t="n"/>
      <c r="H14" s="48" t="n"/>
    </row>
    <row r="15" ht="17.54999923706055" customHeight="1" s="37">
      <c r="A15" s="42" t="n"/>
      <c r="B15" s="7" t="inlineStr">
        <is>
          <t>现有流动资金贷款</t>
        </is>
      </c>
      <c r="C15" s="14" t="inlineStr">
        <is>
          <t>—</t>
        </is>
      </c>
      <c r="D15" s="14" t="inlineStr">
        <is>
          <t>—</t>
        </is>
      </c>
      <c r="E15" s="59" t="n"/>
      <c r="F15" s="46" t="inlineStr">
        <is>
          <t>近期已有流动资金贷款余额</t>
        </is>
      </c>
      <c r="G15" s="47" t="n"/>
      <c r="H15" s="48" t="n"/>
    </row>
    <row r="16" ht="40.5" customHeight="1" s="37">
      <c r="A16" s="42" t="n"/>
      <c r="B16" s="7" t="inlineStr">
        <is>
          <t>其他渠道提供的营运资金</t>
        </is>
      </c>
      <c r="C16" s="14" t="inlineStr">
        <is>
          <t>—</t>
        </is>
      </c>
      <c r="D16" s="14" t="inlineStr">
        <is>
          <t>—</t>
        </is>
      </c>
      <c r="E16" s="59" t="n"/>
      <c r="F16" s="50" t="inlineStr">
        <is>
          <t>其他银行可使用的授信额度、发行债券、融资租赁、股东借款、吸收直接投资、发行股票、商业信用、财政拨款、非银行金融机构等可用于日常经营生产的其他融资，无则填0</t>
        </is>
      </c>
      <c r="G16" s="47" t="n"/>
      <c r="H16" s="48" t="n"/>
    </row>
    <row r="17" ht="28.5" customHeight="1" s="37">
      <c r="A17" s="42" t="n"/>
      <c r="B17" s="7" t="inlineStr">
        <is>
          <t>调节（保险）系数</t>
        </is>
      </c>
      <c r="C17" s="14" t="inlineStr">
        <is>
          <t>—</t>
        </is>
      </c>
      <c r="D17" s="14" t="inlineStr">
        <is>
          <t>—</t>
        </is>
      </c>
      <c r="E17" s="60" t="n"/>
      <c r="F17" s="52" t="inlineStr">
        <is>
          <t>根据行业取1-2之间，一般取值为1，如季度性强客户根据生产及报表的周期确定，最高不超过2倍；贷款期限应根据回款周期合理确定</t>
        </is>
      </c>
      <c r="G17" s="47" t="n"/>
      <c r="H17" s="48" t="n"/>
    </row>
    <row r="18" ht="54.75" customHeight="1" s="37">
      <c r="A18" s="42" t="n"/>
      <c r="B18" s="7" t="inlineStr">
        <is>
          <t>特定需求1</t>
        </is>
      </c>
      <c r="C18" s="14" t="inlineStr">
        <is>
          <t>—</t>
        </is>
      </c>
      <c r="D18" s="14" t="inlineStr">
        <is>
          <t>—</t>
        </is>
      </c>
      <c r="E18" s="60" t="n"/>
      <c r="F18" s="52" t="inlineStr">
        <is>
          <t>临时大额合同、应收款延期、应付款期缩短、存货临时性增加等因素造成的需求增加，如用于建筑公司、软件开发公司临时大合同贷款需求，包括订单融资、预付租金或者临时大额债项融资等特别需求，并考虑平均行业周转次数确定，贷款期限应根据回款周期合理确定，无则填写0</t>
        </is>
      </c>
      <c r="G18" s="47" t="n"/>
      <c r="H18" s="48" t="n"/>
    </row>
    <row r="19" ht="18.75" customHeight="1" s="37">
      <c r="A19" s="43" t="n"/>
      <c r="B19" s="7" t="inlineStr">
        <is>
          <t>特定需求2</t>
        </is>
      </c>
      <c r="C19" s="14" t="n"/>
      <c r="D19" s="14" t="n"/>
      <c r="E19" s="60" t="n">
        <v>0</v>
      </c>
      <c r="F19" s="52" t="inlineStr">
        <is>
          <t>置换他行贷款部分，无则填写0</t>
        </is>
      </c>
      <c r="G19" s="47" t="n"/>
      <c r="H19" s="48" t="n"/>
    </row>
    <row r="20" ht="27" customHeight="1" s="37">
      <c r="A20" s="6" t="inlineStr">
        <is>
          <t>测算结果</t>
        </is>
      </c>
      <c r="B20" s="7" t="inlineStr">
        <is>
          <t>营运资金周转次数</t>
        </is>
      </c>
      <c r="C20" s="14" t="inlineStr">
        <is>
          <t>—</t>
        </is>
      </c>
      <c r="D20" s="14" t="inlineStr">
        <is>
          <t>—</t>
        </is>
      </c>
      <c r="E20" s="53">
        <f>IF((SUM(H4:H6)-SUM(H7:H8))=0,"",360/(SUM(H4:H6)-SUM(H7:H8)))</f>
        <v/>
      </c>
      <c r="F20" s="50" t="inlineStr">
        <is>
          <t>营运资金周转次数＝360/(存货周转天数+应收账款周转天数－应付账款周转天数＋预付账款周转天数－预收账款周转天数)</t>
        </is>
      </c>
      <c r="G20" s="47" t="n"/>
      <c r="H20" s="48" t="n"/>
    </row>
    <row r="21" ht="26.25" customHeight="1" s="37">
      <c r="A21" s="42" t="n"/>
      <c r="B21" s="7" t="inlineStr">
        <is>
          <t>营运资金量</t>
        </is>
      </c>
      <c r="C21" s="14" t="inlineStr">
        <is>
          <t>—</t>
        </is>
      </c>
      <c r="D21" s="14" t="inlineStr">
        <is>
          <t>—</t>
        </is>
      </c>
      <c r="E21" s="54">
        <f>IF(OR(D9="",D9=0,E20="",E20=0),"",D9*(1-(D9-D10)/D9)*(1+E13)/E20)</f>
        <v/>
      </c>
      <c r="F21" s="50" t="inlineStr">
        <is>
          <t>营运资金量＝上年度销售收入×（1－上年度销售利润率）×（1＋预计销售收入年增长率）/营运资金周转次数</t>
        </is>
      </c>
      <c r="G21" s="47" t="n"/>
      <c r="H21" s="48" t="n"/>
    </row>
    <row r="22" ht="43.5" customHeight="1" s="37">
      <c r="A22" s="43" t="n"/>
      <c r="B22" s="34" t="inlineStr">
        <is>
          <t>新增流动资金贷款额度</t>
        </is>
      </c>
      <c r="C22" s="14" t="inlineStr">
        <is>
          <t>—</t>
        </is>
      </c>
      <c r="D22" s="14" t="inlineStr">
        <is>
          <t>—</t>
        </is>
      </c>
      <c r="E22" s="55">
        <f>IF(OR(E21="",E17=""),"",E21*E17+E18+E19-E14-E15-E16)</f>
        <v/>
      </c>
      <c r="F22" s="50" t="inlineStr">
        <is>
          <t>测算参考结果；新增流动资金贷款额度=营运资金量*调节（保险）系数+特定需求1+特定需求2－借款人自有资金－现有流动资金贷款－其他渠道提供的营运资金</t>
        </is>
      </c>
      <c r="G22" s="47" t="n"/>
      <c r="H22" s="48" t="n"/>
    </row>
    <row r="23" ht="61.5" customHeight="1" s="37">
      <c r="A23" s="6" t="inlineStr">
        <is>
          <t>说明</t>
        </is>
      </c>
      <c r="B23" s="56" t="inlineStr">
        <is>
          <t>1、本表黄色区域为需录入数据或由调查报告中财务数据引入（未锁定）；蓝色区域、红色区域分别是中间和最后结果（已锁定）；2、本表仅适用于存续两年以上的生产或销售型单位；对不足两年的客户及其他类型的客户，应根据订单情况、其他资金来源、行业平均营运资金周转次数等合理确定贷款需求及期限；3、对集团关联客户，可采用合并报表和单独的子公司分别估算流动资金贷款额度，原则上纳入合并报表范围内的成员企业流动资金贷款总和不能超过估算值；4、本表是基于真实且理想化的财务报表的测算结果，供参考。</t>
        </is>
      </c>
      <c r="C23" s="38" t="n"/>
      <c r="D23" s="38" t="n"/>
      <c r="E23" s="38" t="n"/>
      <c r="F23" s="38" t="n"/>
      <c r="G23" s="38" t="n"/>
      <c r="H23" s="45" t="n"/>
    </row>
  </sheetData>
  <sheetProtection selectLockedCells="0" selectUnlockedCells="0" sheet="1" objects="0" insertRows="1" insertHyperlinks="1" autoFilter="1" scenarios="0" formatColumns="1" deleteColumns="1" insertColumns="1" pivotTables="1" deleteRows="1" formatCells="1" formatRows="1" sort="1"/>
  <mergeCells count="18">
    <mergeCell ref="F20:H20"/>
    <mergeCell ref="F16:H16"/>
    <mergeCell ref="A4:A6"/>
    <mergeCell ref="F19:H19"/>
    <mergeCell ref="F14:H14"/>
    <mergeCell ref="F18:H18"/>
    <mergeCell ref="F13:H13"/>
    <mergeCell ref="F22:H22"/>
    <mergeCell ref="A9:A12"/>
    <mergeCell ref="A13:A19"/>
    <mergeCell ref="A20:A22"/>
    <mergeCell ref="A7:A8"/>
    <mergeCell ref="F17:H17"/>
    <mergeCell ref="F12:H12"/>
    <mergeCell ref="F15:H15"/>
    <mergeCell ref="F21:H21"/>
    <mergeCell ref="A2:C2"/>
    <mergeCell ref="B23:H23"/>
  </mergeCells>
  <dataValidations count="1">
    <dataValidation sqref="E17" showDropDown="0" showInputMessage="1" showErrorMessage="1" allowBlank="1" errorTitle="输入超出范围" error="调节系数必须在1至2之间。" promptTitle="调节系数" prompt="请输入1至2之间的数值，一般取1。" type="decimal" errorStyle="stop" operator="between">
      <formula1>1</formula1>
      <formula2>2</formula2>
    </dataValidation>
  </dataValidations>
  <pageMargins left="0.7" right="0.7" top="0.75" bottom="0.75" header="0.3" footer="0.3"/>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2026-09-17T02:36:39Z</dcterms:created>
  <dcterms:modified xmlns:dcterms="http://purl.org/dc/terms/" xmlns:xsi="http://www.w3.org/2001/XMLSchema-instance" xsi:type="dcterms:W3CDTF">2026-09-17T06:11:19Z</dcterms:modified>
</cp:coreProperties>
</file>